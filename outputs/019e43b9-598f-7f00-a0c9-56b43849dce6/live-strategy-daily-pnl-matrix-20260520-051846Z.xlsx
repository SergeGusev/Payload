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Matrix" sheetId="2" r:id="rId2"/>
    <sheet name="Daily Detail" sheetId="3" r:id="rId3"/>
    <sheet name="Live Strategies" sheetId="4" r:id="rId4"/>
    <sheet name="Summary" sheetId="1" r:id="rId1"/>
    <sheet name="Source Note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;[Red]-$#,##0.00;$0.00"/>
    <numFmt numFmtId="165" formatCode="0.0%"/>
    <numFmt numFmtId="166" formatCode="yyyy-mm-dd"/>
    <numFmt numFmtId="167" formatCode="yyyy-mm-dd hh:mm"/>
  </numFmts>
  <fonts count="4">
    <font>
      <sz val="11"/>
      <name val="Calibri"/>
    </font>
    <font>
      <b/>
      <color rgb="FFFFFFFF"/>
      <sz val="11"/>
      <name val="Calibri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3" borderId="0" xfId="0" applyFill="1"/>
    <xf numFmtId="0" fontId="3" fillId="0" borderId="1" xfId="0" applyFont="1" applyBorder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28" customWidth="1"/>
    <col min="2" max="2" width="42" customWidth="1"/>
    <col min="3" max="3" width="10" customWidth="1"/>
    <col min="4" max="4" width="12" customWidth="1"/>
    <col min="5" max="5" width="10" customWidth="1"/>
    <col min="6" max="6" width="10" customWidth="1"/>
    <col min="7" max="7" width="10" customWidth="1"/>
    <col min="8" max="8" width="16" customWidth="1"/>
    <col min="9" max="9" width="11" customWidth="1"/>
    <col min="10" max="10" width="9" customWidth="1"/>
    <col min="11" max="11" width="9" customWidth="1"/>
    <col min="12" max="12" width="13" customWidth="1"/>
    <col min="13" max="13" width="12" customWidth="1"/>
    <col min="14" max="14" width="10" customWidth="1"/>
    <col min="15" max="15" width="22" customWidth="1"/>
  </cols>
  <sheetData>
    <row r="1">
      <c r="A1" s="2" t="inlineStr">
        <is>
          <t>Live Strategy Daily PnL</t>
        </is>
      </c>
    </row>
    <row r="2">
      <c r="A2" s="8" t="inlineStr">
        <is>
          <t>Current live strategies only. Daily grouping uses Europe/Sofia.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DB time UTC</t>
        </is>
      </c>
      <c r="B5" s="7">
        <v>46162.21674169</v>
      </c>
    </row>
    <row r="6">
      <c r="A6" t="inlineStr">
        <is>
          <t>Live strategies</t>
        </is>
      </c>
      <c r="B6" s="4">
        <v>6</v>
      </c>
    </row>
    <row r="7">
      <c r="A7" t="inlineStr">
        <is>
          <t>Total realized PnL USD</t>
        </is>
      </c>
      <c r="B7" s="3">
        <f>SUM('Daily Detail'!H5:H34)</f>
        <v>145.68345</v>
      </c>
    </row>
    <row r="8">
      <c r="A8" t="inlineStr">
        <is>
          <t>Settled live orders</t>
        </is>
      </c>
      <c r="B8" s="4">
        <f>SUM('Daily Detail'!E5:E34)</f>
        <v>184</v>
      </c>
    </row>
    <row r="9">
      <c r="A9" t="inlineStr">
        <is>
          <t>Settled cost basis USD</t>
        </is>
      </c>
      <c r="B9" s="3">
        <f>SUM('Daily Detail'!I5:I34)</f>
        <v>560.87665</v>
      </c>
    </row>
    <row r="10">
      <c r="A10" t="inlineStr">
        <is>
          <t>ROI on settled cost</t>
        </is>
      </c>
      <c r="B10" s="5">
        <f>IF(B9=0,0,B7/B9)</f>
        <v>0.25974241</v>
      </c>
    </row>
    <row r="11">
      <c r="A11" t="inlineStr">
        <is>
          <t>Date range Sofia</t>
        </is>
      </c>
      <c r="B11" t="inlineStr">
        <is>
          <t>2026-05-16 to 2026-05-20</t>
        </is>
      </c>
    </row>
    <row r="15">
      <c r="A15" s="1" t="inlineStr">
        <is>
          <t>Strategy</t>
        </is>
      </c>
      <c r="B15" s="1" t="inlineStr">
        <is>
          <t>Code</t>
        </is>
      </c>
      <c r="C15" s="1" t="inlineStr">
        <is>
          <t>Live $</t>
        </is>
      </c>
      <c r="D15" s="1" t="inlineStr">
        <is>
          <t>Live bal</t>
        </is>
      </c>
      <c r="E15" s="1" t="inlineStr">
        <is>
          <t>Orders</t>
        </is>
      </c>
      <c r="F15" s="1" t="inlineStr">
        <is>
          <t>Filled</t>
        </is>
      </c>
      <c r="G15" s="1" t="inlineStr">
        <is>
          <t>Open</t>
        </is>
      </c>
      <c r="H15" s="1" t="inlineStr">
        <is>
          <t>Ignored/skipped</t>
        </is>
      </c>
      <c r="I15" s="1" t="inlineStr">
        <is>
          <t>Settled</t>
        </is>
      </c>
      <c r="J15" s="1" t="inlineStr">
        <is>
          <t>Won</t>
        </is>
      </c>
      <c r="K15" s="1" t="inlineStr">
        <is>
          <t>Lost</t>
        </is>
      </c>
      <c r="L15" s="1" t="inlineStr">
        <is>
          <t>Cost basis</t>
        </is>
      </c>
      <c r="M15" s="1" t="inlineStr">
        <is>
          <t>PnL</t>
        </is>
      </c>
      <c r="N15" s="1" t="inlineStr">
        <is>
          <t>ROI</t>
        </is>
      </c>
      <c r="O15" s="1" t="inlineStr">
        <is>
          <t>Last settlement UTC</t>
        </is>
      </c>
    </row>
    <row r="16">
      <c r="A16" t="inlineStr">
        <is>
          <t>BTC Up or Down 5m Binance 2 bps</t>
        </is>
      </c>
      <c r="B16" t="inlineStr">
        <is>
          <t>btc_up_down_5m_binance_bps_2</t>
        </is>
      </c>
      <c r="C16" s="3">
        <v>1</v>
      </c>
      <c r="D16" s="3">
        <v>168.7653</v>
      </c>
      <c r="E16" s="4">
        <v>82</v>
      </c>
      <c r="F16" s="4">
        <v>63</v>
      </c>
      <c r="G16" s="4">
        <v>0</v>
      </c>
      <c r="H16" s="4">
        <v>19</v>
      </c>
      <c r="I16" s="4">
        <v>63</v>
      </c>
      <c r="J16" s="4">
        <v>43</v>
      </c>
      <c r="K16" s="4">
        <v>20</v>
      </c>
      <c r="L16" s="3">
        <v>187.2053</v>
      </c>
      <c r="M16" s="3">
        <v>68.7653</v>
      </c>
      <c r="N16" s="5">
        <v>0.3673256</v>
      </c>
      <c r="O16" s="7">
        <v>46162.19146154</v>
      </c>
    </row>
    <row r="17">
      <c r="A17" t="inlineStr">
        <is>
          <t>BTC Up or Down 5m Binance 2.1 bps</t>
        </is>
      </c>
      <c r="B17" t="inlineStr">
        <is>
          <t>btc_up_down_5m_binance_bps_2_1</t>
        </is>
      </c>
      <c r="C17" s="3">
        <v>1</v>
      </c>
      <c r="D17" s="3">
        <v>132.9499</v>
      </c>
      <c r="E17" s="4">
        <v>48</v>
      </c>
      <c r="F17" s="4">
        <v>35</v>
      </c>
      <c r="G17" s="4">
        <v>0</v>
      </c>
      <c r="H17" s="4">
        <v>13</v>
      </c>
      <c r="I17" s="4">
        <v>35</v>
      </c>
      <c r="J17" s="4">
        <v>23</v>
      </c>
      <c r="K17" s="4">
        <v>12</v>
      </c>
      <c r="L17" s="3">
        <v>103.8699</v>
      </c>
      <c r="M17" s="3">
        <v>32.9499</v>
      </c>
      <c r="N17" s="5">
        <v>0.3172228</v>
      </c>
      <c r="O17" s="7">
        <v>46162.19146082</v>
      </c>
    </row>
    <row r="18">
      <c r="A18" t="inlineStr">
        <is>
          <t>BTC Up or Down 5m Binance 1.9 bps</t>
        </is>
      </c>
      <c r="B18" t="inlineStr">
        <is>
          <t>btc_up_down_5m_binance_bps_1_9</t>
        </is>
      </c>
      <c r="C18" s="3">
        <v>1</v>
      </c>
      <c r="D18" s="3">
        <v>121.4862</v>
      </c>
      <c r="E18" s="4">
        <v>67</v>
      </c>
      <c r="F18" s="4">
        <v>47</v>
      </c>
      <c r="G18" s="4">
        <v>0</v>
      </c>
      <c r="H18" s="4">
        <v>20</v>
      </c>
      <c r="I18" s="4">
        <v>47</v>
      </c>
      <c r="J18" s="4">
        <v>27</v>
      </c>
      <c r="K18" s="4">
        <v>20</v>
      </c>
      <c r="L18" s="3">
        <v>139.3336</v>
      </c>
      <c r="M18" s="3">
        <v>21.4862</v>
      </c>
      <c r="N18" s="5">
        <v>0.15420688</v>
      </c>
      <c r="O18" s="7">
        <v>46162.19146118</v>
      </c>
    </row>
    <row r="19">
      <c r="A19" t="inlineStr">
        <is>
          <t>BTC Up or Down 5m Binance 2 bps Instant</t>
        </is>
      </c>
      <c r="B19" t="inlineStr">
        <is>
          <t>btc_up_down_5m_binance_bps_2_instant</t>
        </is>
      </c>
      <c r="C19" s="3">
        <v>1</v>
      </c>
      <c r="D19" s="3">
        <v>113.7021</v>
      </c>
      <c r="E19" s="4">
        <v>30</v>
      </c>
      <c r="F19" s="4">
        <v>20</v>
      </c>
      <c r="G19" s="4">
        <v>0</v>
      </c>
      <c r="H19" s="4">
        <v>10</v>
      </c>
      <c r="I19" s="4">
        <v>20</v>
      </c>
      <c r="J19" s="4">
        <v>14</v>
      </c>
      <c r="K19" s="4">
        <v>6</v>
      </c>
      <c r="L19" s="3">
        <v>73.6879</v>
      </c>
      <c r="M19" s="3">
        <v>13.7021</v>
      </c>
      <c r="N19" s="5">
        <v>0.18594776</v>
      </c>
      <c r="O19" s="7">
        <v>46162.19145481</v>
      </c>
    </row>
    <row r="20">
      <c r="A20" t="inlineStr">
        <is>
          <t>BTC Up or Down 5m Binance 2.2 bps</t>
        </is>
      </c>
      <c r="B20" t="inlineStr">
        <is>
          <t>btc_up_down_5m_binance_bps_2_2</t>
        </is>
      </c>
      <c r="C20" s="3">
        <v>1</v>
      </c>
      <c r="D20" s="3">
        <v>111.77995</v>
      </c>
      <c r="E20" s="4">
        <v>19</v>
      </c>
      <c r="F20" s="4">
        <v>12</v>
      </c>
      <c r="G20" s="4">
        <v>0</v>
      </c>
      <c r="H20" s="4">
        <v>7</v>
      </c>
      <c r="I20" s="4">
        <v>12</v>
      </c>
      <c r="J20" s="4">
        <v>8</v>
      </c>
      <c r="K20" s="4">
        <v>4</v>
      </c>
      <c r="L20" s="3">
        <v>35.77995</v>
      </c>
      <c r="M20" s="3">
        <v>11.77995</v>
      </c>
      <c r="N20" s="5">
        <v>0.32923327</v>
      </c>
      <c r="O20" s="7">
        <v>46162.19145908</v>
      </c>
    </row>
    <row r="21">
      <c r="A21" t="inlineStr">
        <is>
          <t>BTC Up or Down 5m Binance 2.3 bps</t>
        </is>
      </c>
      <c r="B21" t="inlineStr">
        <is>
          <t>btc_up_down_5m_binance_bps_2_3</t>
        </is>
      </c>
      <c r="C21" s="3">
        <v>1</v>
      </c>
      <c r="D21" s="3">
        <v>97</v>
      </c>
      <c r="E21" s="4">
        <v>13</v>
      </c>
      <c r="F21" s="4">
        <v>7</v>
      </c>
      <c r="G21" s="4">
        <v>0</v>
      </c>
      <c r="H21" s="4">
        <v>6</v>
      </c>
      <c r="I21" s="4">
        <v>7</v>
      </c>
      <c r="J21" s="4">
        <v>3</v>
      </c>
      <c r="K21" s="4">
        <v>4</v>
      </c>
      <c r="L21" s="3">
        <v>21</v>
      </c>
      <c r="M21" s="3">
        <v>-3</v>
      </c>
      <c r="N21" s="5">
        <v>-0.14285714</v>
      </c>
      <c r="O21" s="7">
        <v>46162.12542626</v>
      </c>
    </row>
  </sheetData>
  <autoFilter ref="A15:O21"/>
  <mergeCells count="2">
    <mergeCell ref="A1:O1"/>
    <mergeCell ref="A2:O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4" customWidth="1"/>
    <col min="2" max="2" width="13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2" t="inlineStr">
        <is>
          <t>Daily PnL Matrix</t>
        </is>
      </c>
    </row>
    <row r="2">
      <c r="A2" s="8" t="inlineStr">
        <is>
          <t>PnL by Sofia calendar day for strategies currently marked Live.</t>
        </is>
      </c>
    </row>
    <row r="4">
      <c r="A4" s="1" t="inlineStr">
        <is>
          <t>Sofia date</t>
        </is>
      </c>
      <c r="B4" s="1" t="inlineStr">
        <is>
          <t>Total PnL</t>
        </is>
      </c>
      <c r="C4" s="1" t="inlineStr">
        <is>
          <t>BTC Up or Down 5m Binance 1.9 bps</t>
        </is>
      </c>
      <c r="D4" s="1" t="inlineStr">
        <is>
          <t>BTC Up or Down 5m Binance 2 bps</t>
        </is>
      </c>
      <c r="E4" s="1" t="inlineStr">
        <is>
          <t>BTC Up or Down 5m Binance 2 bps Instant</t>
        </is>
      </c>
      <c r="F4" s="1" t="inlineStr">
        <is>
          <t>BTC Up or Down 5m Binance 2.1 bps</t>
        </is>
      </c>
      <c r="G4" s="1" t="inlineStr">
        <is>
          <t>BTC Up or Down 5m Binance 2.2 bps</t>
        </is>
      </c>
      <c r="H4" s="1" t="inlineStr">
        <is>
          <t>BTC Up or Down 5m Binance 2.3 bps</t>
        </is>
      </c>
    </row>
    <row r="5">
      <c r="A5" s="6">
        <v>46158</v>
      </c>
      <c r="B5" s="3">
        <f>SUM(C5:H5)</f>
        <v>-3</v>
      </c>
      <c r="C5" s="3">
        <v>0</v>
      </c>
      <c r="D5" s="3">
        <v>-3</v>
      </c>
      <c r="E5" s="3">
        <v>0</v>
      </c>
      <c r="F5" s="3">
        <v>0</v>
      </c>
      <c r="G5" s="3">
        <v>0</v>
      </c>
      <c r="H5" s="3">
        <v>0</v>
      </c>
    </row>
    <row r="6">
      <c r="A6" s="6">
        <v>46159</v>
      </c>
      <c r="B6" s="3">
        <f>SUM(C6:H6)</f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>
      <c r="A7" s="6">
        <v>46160</v>
      </c>
      <c r="B7" s="3">
        <f>SUM(C7:H7)</f>
        <v>35.7554</v>
      </c>
      <c r="C7" s="3">
        <v>0.06</v>
      </c>
      <c r="D7" s="3">
        <v>35.6954</v>
      </c>
      <c r="E7" s="3">
        <v>0</v>
      </c>
      <c r="F7" s="3">
        <v>0</v>
      </c>
      <c r="G7" s="3">
        <v>0</v>
      </c>
      <c r="H7" s="3">
        <v>0</v>
      </c>
    </row>
    <row r="8">
      <c r="A8" s="6">
        <v>46161</v>
      </c>
      <c r="B8" s="3">
        <f>SUM(C8:H8)</f>
        <v>96.81925</v>
      </c>
      <c r="C8" s="3">
        <v>18.4262</v>
      </c>
      <c r="D8" s="3">
        <v>33.0699</v>
      </c>
      <c r="E8" s="3">
        <v>6.5933</v>
      </c>
      <c r="F8" s="3">
        <v>29.9499</v>
      </c>
      <c r="G8" s="3">
        <v>8.77995</v>
      </c>
      <c r="H8" s="3">
        <v>0</v>
      </c>
    </row>
    <row r="9">
      <c r="A9" s="6">
        <v>46162</v>
      </c>
      <c r="B9" s="3">
        <f>SUM(C9:H9)</f>
        <v>16.1088</v>
      </c>
      <c r="C9" s="3">
        <v>3</v>
      </c>
      <c r="D9" s="3">
        <v>3</v>
      </c>
      <c r="E9" s="3">
        <v>7.1088</v>
      </c>
      <c r="F9" s="3">
        <v>3</v>
      </c>
      <c r="G9" s="3">
        <v>3</v>
      </c>
      <c r="H9" s="3">
        <v>-3</v>
      </c>
    </row>
    <row r="10">
      <c r="A10" s="9" t="inlineStr">
        <is>
          <t>Total</t>
        </is>
      </c>
      <c r="B10" s="3">
        <f>SUM(B5:B9)</f>
        <v>145.68345</v>
      </c>
      <c r="C10" s="3">
        <f>SUM(C5:C9)</f>
        <v>21.4862</v>
      </c>
      <c r="D10" s="3">
        <f>SUM(D5:D9)</f>
        <v>68.7653</v>
      </c>
      <c r="E10" s="3">
        <f>SUM(E5:E9)</f>
        <v>13.7021</v>
      </c>
      <c r="F10" s="3">
        <f>SUM(F5:F9)</f>
        <v>32.9499</v>
      </c>
      <c r="G10" s="3">
        <f>SUM(G5:G9)</f>
        <v>11.77995</v>
      </c>
      <c r="H10" s="3">
        <f>SUM(H5:H9)</f>
        <v>-3</v>
      </c>
    </row>
  </sheetData>
  <autoFilter ref="A4:H9"/>
  <mergeCells count="2">
    <mergeCell ref="A1:H1"/>
    <mergeCell ref="A2:H2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4" customWidth="1"/>
    <col min="2" max="2" width="34" customWidth="1"/>
    <col min="3" max="3" width="42" customWidth="1"/>
    <col min="4" max="4" width="38" customWidth="1"/>
    <col min="5" max="5" width="10" customWidth="1"/>
    <col min="6" max="6" width="8" customWidth="1"/>
    <col min="7" max="7" width="8" customWidth="1"/>
    <col min="8" max="8" width="12" customWidth="1"/>
    <col min="9" max="9" width="12" customWidth="1"/>
    <col min="10" max="10" width="16" customWidth="1"/>
    <col min="11" max="11" width="10" customWidth="1"/>
    <col min="12" max="12" width="22" customWidth="1"/>
    <col min="13" max="13" width="22" customWidth="1"/>
  </cols>
  <sheetData>
    <row r="1">
      <c r="A1" s="2" t="inlineStr">
        <is>
          <t>Daily Detail</t>
        </is>
      </c>
    </row>
    <row r="2">
      <c r="A2" s="8" t="inlineStr">
        <is>
          <t>Rows include zero-settlement days for every current live strategy.</t>
        </is>
      </c>
    </row>
    <row r="4">
      <c r="A4" s="1" t="inlineStr">
        <is>
          <t>Sofia date</t>
        </is>
      </c>
      <c r="B4" s="1" t="inlineStr">
        <is>
          <t>Strategy</t>
        </is>
      </c>
      <c r="C4" s="1" t="inlineStr">
        <is>
          <t>Code</t>
        </is>
      </c>
      <c r="D4" s="1" t="inlineStr">
        <is>
          <t>Strategy ID</t>
        </is>
      </c>
      <c r="E4" s="1" t="inlineStr">
        <is>
          <t>Settled</t>
        </is>
      </c>
      <c r="F4" s="1" t="inlineStr">
        <is>
          <t>Won</t>
        </is>
      </c>
      <c r="G4" s="1" t="inlineStr">
        <is>
          <t>Lost</t>
        </is>
      </c>
      <c r="H4" s="1" t="inlineStr">
        <is>
          <t>PnL</t>
        </is>
      </c>
      <c r="I4" s="1" t="inlineStr">
        <is>
          <t>Cost basis</t>
        </is>
      </c>
      <c r="J4" s="1" t="inlineStr">
        <is>
          <t>Settlement value</t>
        </is>
      </c>
      <c r="K4" s="1" t="inlineStr">
        <is>
          <t>ROI</t>
        </is>
      </c>
      <c r="L4" s="1" t="inlineStr">
        <is>
          <t>First settlement UTC</t>
        </is>
      </c>
      <c r="M4" s="1" t="inlineStr">
        <is>
          <t>Last settlement UTC</t>
        </is>
      </c>
    </row>
    <row r="5">
      <c r="A5" s="6">
        <v>46158</v>
      </c>
      <c r="B5" t="inlineStr">
        <is>
          <t>BTC Up or Down 5m Binance 1.9 bps</t>
        </is>
      </c>
      <c r="C5" t="inlineStr">
        <is>
          <t>btc_up_down_5m_binance_bps_1_9</t>
        </is>
      </c>
      <c r="D5" t="inlineStr">
        <is>
          <t>b7c50005-0000-4000-8013-000000000119</t>
        </is>
      </c>
      <c r="E5" s="4">
        <v>0</v>
      </c>
      <c r="F5" s="4">
        <v>0</v>
      </c>
      <c r="G5" s="4">
        <v>0</v>
      </c>
      <c r="H5" s="3">
        <v>0</v>
      </c>
      <c r="I5" s="3">
        <v>0</v>
      </c>
      <c r="J5" s="3">
        <v>0</v>
      </c>
      <c r="K5" s="5">
        <v>0</v>
      </c>
      <c r="L5"/>
      <c r="M5"/>
    </row>
    <row r="6">
      <c r="A6" s="6">
        <v>46158</v>
      </c>
      <c r="B6" t="inlineStr">
        <is>
          <t>BTC Up or Down 5m Binance 2 bps</t>
        </is>
      </c>
      <c r="C6" t="inlineStr">
        <is>
          <t>btc_up_down_5m_binance_bps_2</t>
        </is>
      </c>
      <c r="D6" t="inlineStr">
        <is>
          <t>b7c50005-0000-4000-8013-000000000002</t>
        </is>
      </c>
      <c r="E6" s="4">
        <v>1</v>
      </c>
      <c r="F6" s="4">
        <v>0</v>
      </c>
      <c r="G6" s="4">
        <v>1</v>
      </c>
      <c r="H6" s="3">
        <v>-3</v>
      </c>
      <c r="I6" s="3">
        <v>3</v>
      </c>
      <c r="J6" s="3">
        <v>0</v>
      </c>
      <c r="K6" s="5">
        <v>-1</v>
      </c>
      <c r="L6" s="7">
        <v>46158.72807458</v>
      </c>
      <c r="M6" s="7">
        <v>46158.72807458</v>
      </c>
    </row>
    <row r="7">
      <c r="A7" s="6">
        <v>46158</v>
      </c>
      <c r="B7" t="inlineStr">
        <is>
          <t>BTC Up or Down 5m Binance 2 bps Instant</t>
        </is>
      </c>
      <c r="C7" t="inlineStr">
        <is>
          <t>btc_up_down_5m_binance_bps_2_instant</t>
        </is>
      </c>
      <c r="D7" t="inlineStr">
        <is>
          <t>b7c50005-0000-4000-8026-000000000120</t>
        </is>
      </c>
      <c r="E7" s="4">
        <v>0</v>
      </c>
      <c r="F7" s="4">
        <v>0</v>
      </c>
      <c r="G7" s="4">
        <v>0</v>
      </c>
      <c r="H7" s="3">
        <v>0</v>
      </c>
      <c r="I7" s="3">
        <v>0</v>
      </c>
      <c r="J7" s="3">
        <v>0</v>
      </c>
      <c r="K7" s="5">
        <v>0</v>
      </c>
      <c r="L7"/>
      <c r="M7"/>
    </row>
    <row r="8">
      <c r="A8" s="6">
        <v>46158</v>
      </c>
      <c r="B8" t="inlineStr">
        <is>
          <t>BTC Up or Down 5m Binance 2.1 bps</t>
        </is>
      </c>
      <c r="C8" t="inlineStr">
        <is>
          <t>btc_up_down_5m_binance_bps_2_1</t>
        </is>
      </c>
      <c r="D8" t="inlineStr">
        <is>
          <t>b7c50005-0000-4000-8013-000000000121</t>
        </is>
      </c>
      <c r="E8" s="4">
        <v>0</v>
      </c>
      <c r="F8" s="4">
        <v>0</v>
      </c>
      <c r="G8" s="4">
        <v>0</v>
      </c>
      <c r="H8" s="3">
        <v>0</v>
      </c>
      <c r="I8" s="3">
        <v>0</v>
      </c>
      <c r="J8" s="3">
        <v>0</v>
      </c>
      <c r="K8" s="5">
        <v>0</v>
      </c>
      <c r="L8"/>
      <c r="M8"/>
    </row>
    <row r="9">
      <c r="A9" s="6">
        <v>46158</v>
      </c>
      <c r="B9" t="inlineStr">
        <is>
          <t>BTC Up or Down 5m Binance 2.2 bps</t>
        </is>
      </c>
      <c r="C9" t="inlineStr">
        <is>
          <t>btc_up_down_5m_binance_bps_2_2</t>
        </is>
      </c>
      <c r="D9" t="inlineStr">
        <is>
          <t>b7c50005-0000-4000-8013-000000000122</t>
        </is>
      </c>
      <c r="E9" s="4">
        <v>0</v>
      </c>
      <c r="F9" s="4">
        <v>0</v>
      </c>
      <c r="G9" s="4">
        <v>0</v>
      </c>
      <c r="H9" s="3">
        <v>0</v>
      </c>
      <c r="I9" s="3">
        <v>0</v>
      </c>
      <c r="J9" s="3">
        <v>0</v>
      </c>
      <c r="K9" s="5">
        <v>0</v>
      </c>
      <c r="L9"/>
      <c r="M9"/>
    </row>
    <row r="10">
      <c r="A10" s="6">
        <v>46158</v>
      </c>
      <c r="B10" t="inlineStr">
        <is>
          <t>BTC Up or Down 5m Binance 2.3 bps</t>
        </is>
      </c>
      <c r="C10" t="inlineStr">
        <is>
          <t>btc_up_down_5m_binance_bps_2_3</t>
        </is>
      </c>
      <c r="D10" t="inlineStr">
        <is>
          <t>b7c50005-0000-4000-8013-000000000123</t>
        </is>
      </c>
      <c r="E10" s="4">
        <v>0</v>
      </c>
      <c r="F10" s="4">
        <v>0</v>
      </c>
      <c r="G10" s="4">
        <v>0</v>
      </c>
      <c r="H10" s="3">
        <v>0</v>
      </c>
      <c r="I10" s="3">
        <v>0</v>
      </c>
      <c r="J10" s="3">
        <v>0</v>
      </c>
      <c r="K10" s="5">
        <v>0</v>
      </c>
      <c r="L10"/>
      <c r="M10"/>
    </row>
    <row r="11">
      <c r="A11" s="6">
        <v>46159</v>
      </c>
      <c r="B11" t="inlineStr">
        <is>
          <t>BTC Up or Down 5m Binance 1.9 bps</t>
        </is>
      </c>
      <c r="C11" t="inlineStr">
        <is>
          <t>btc_up_down_5m_binance_bps_1_9</t>
        </is>
      </c>
      <c r="D11" t="inlineStr">
        <is>
          <t>b7c50005-0000-4000-8013-000000000119</t>
        </is>
      </c>
      <c r="E11" s="4">
        <v>0</v>
      </c>
      <c r="F11" s="4">
        <v>0</v>
      </c>
      <c r="G11" s="4">
        <v>0</v>
      </c>
      <c r="H11" s="3">
        <v>0</v>
      </c>
      <c r="I11" s="3">
        <v>0</v>
      </c>
      <c r="J11" s="3">
        <v>0</v>
      </c>
      <c r="K11" s="5">
        <v>0</v>
      </c>
      <c r="L11"/>
      <c r="M11"/>
    </row>
    <row r="12">
      <c r="A12" s="6">
        <v>46159</v>
      </c>
      <c r="B12" t="inlineStr">
        <is>
          <t>BTC Up or Down 5m Binance 2 bps</t>
        </is>
      </c>
      <c r="C12" t="inlineStr">
        <is>
          <t>btc_up_down_5m_binance_bps_2</t>
        </is>
      </c>
      <c r="D12" t="inlineStr">
        <is>
          <t>b7c50005-0000-4000-8013-000000000002</t>
        </is>
      </c>
      <c r="E12" s="4">
        <v>0</v>
      </c>
      <c r="F12" s="4">
        <v>0</v>
      </c>
      <c r="G12" s="4">
        <v>0</v>
      </c>
      <c r="H12" s="3">
        <v>0</v>
      </c>
      <c r="I12" s="3">
        <v>0</v>
      </c>
      <c r="J12" s="3">
        <v>0</v>
      </c>
      <c r="K12" s="5">
        <v>0</v>
      </c>
      <c r="L12"/>
      <c r="M12"/>
    </row>
    <row r="13">
      <c r="A13" s="6">
        <v>46159</v>
      </c>
      <c r="B13" t="inlineStr">
        <is>
          <t>BTC Up or Down 5m Binance 2 bps Instant</t>
        </is>
      </c>
      <c r="C13" t="inlineStr">
        <is>
          <t>btc_up_down_5m_binance_bps_2_instant</t>
        </is>
      </c>
      <c r="D13" t="inlineStr">
        <is>
          <t>b7c50005-0000-4000-8026-000000000120</t>
        </is>
      </c>
      <c r="E13" s="4">
        <v>0</v>
      </c>
      <c r="F13" s="4">
        <v>0</v>
      </c>
      <c r="G13" s="4">
        <v>0</v>
      </c>
      <c r="H13" s="3">
        <v>0</v>
      </c>
      <c r="I13" s="3">
        <v>0</v>
      </c>
      <c r="J13" s="3">
        <v>0</v>
      </c>
      <c r="K13" s="5">
        <v>0</v>
      </c>
      <c r="L13"/>
      <c r="M13"/>
    </row>
    <row r="14">
      <c r="A14" s="6">
        <v>46159</v>
      </c>
      <c r="B14" t="inlineStr">
        <is>
          <t>BTC Up or Down 5m Binance 2.1 bps</t>
        </is>
      </c>
      <c r="C14" t="inlineStr">
        <is>
          <t>btc_up_down_5m_binance_bps_2_1</t>
        </is>
      </c>
      <c r="D14" t="inlineStr">
        <is>
          <t>b7c50005-0000-4000-8013-000000000121</t>
        </is>
      </c>
      <c r="E14" s="4">
        <v>0</v>
      </c>
      <c r="F14" s="4">
        <v>0</v>
      </c>
      <c r="G14" s="4">
        <v>0</v>
      </c>
      <c r="H14" s="3">
        <v>0</v>
      </c>
      <c r="I14" s="3">
        <v>0</v>
      </c>
      <c r="J14" s="3">
        <v>0</v>
      </c>
      <c r="K14" s="5">
        <v>0</v>
      </c>
      <c r="L14"/>
      <c r="M14"/>
    </row>
    <row r="15">
      <c r="A15" s="6">
        <v>46159</v>
      </c>
      <c r="B15" t="inlineStr">
        <is>
          <t>BTC Up or Down 5m Binance 2.2 bps</t>
        </is>
      </c>
      <c r="C15" t="inlineStr">
        <is>
          <t>btc_up_down_5m_binance_bps_2_2</t>
        </is>
      </c>
      <c r="D15" t="inlineStr">
        <is>
          <t>b7c50005-0000-4000-8013-000000000122</t>
        </is>
      </c>
      <c r="E15" s="4">
        <v>0</v>
      </c>
      <c r="F15" s="4">
        <v>0</v>
      </c>
      <c r="G15" s="4">
        <v>0</v>
      </c>
      <c r="H15" s="3">
        <v>0</v>
      </c>
      <c r="I15" s="3">
        <v>0</v>
      </c>
      <c r="J15" s="3">
        <v>0</v>
      </c>
      <c r="K15" s="5">
        <v>0</v>
      </c>
      <c r="L15"/>
      <c r="M15"/>
    </row>
    <row r="16">
      <c r="A16" s="6">
        <v>46159</v>
      </c>
      <c r="B16" t="inlineStr">
        <is>
          <t>BTC Up or Down 5m Binance 2.3 bps</t>
        </is>
      </c>
      <c r="C16" t="inlineStr">
        <is>
          <t>btc_up_down_5m_binance_bps_2_3</t>
        </is>
      </c>
      <c r="D16" t="inlineStr">
        <is>
          <t>b7c50005-0000-4000-8013-000000000123</t>
        </is>
      </c>
      <c r="E16" s="4">
        <v>0</v>
      </c>
      <c r="F16" s="4">
        <v>0</v>
      </c>
      <c r="G16" s="4">
        <v>0</v>
      </c>
      <c r="H16" s="3">
        <v>0</v>
      </c>
      <c r="I16" s="3">
        <v>0</v>
      </c>
      <c r="J16" s="3">
        <v>0</v>
      </c>
      <c r="K16" s="5">
        <v>0</v>
      </c>
      <c r="L16"/>
      <c r="M16"/>
    </row>
    <row r="17">
      <c r="A17" s="6">
        <v>46160</v>
      </c>
      <c r="B17" t="inlineStr">
        <is>
          <t>BTC Up or Down 5m Binance 1.9 bps</t>
        </is>
      </c>
      <c r="C17" t="inlineStr">
        <is>
          <t>btc_up_down_5m_binance_bps_1_9</t>
        </is>
      </c>
      <c r="D17" t="inlineStr">
        <is>
          <t>b7c50005-0000-4000-8013-000000000119</t>
        </is>
      </c>
      <c r="E17" s="4">
        <v>6</v>
      </c>
      <c r="F17" s="4">
        <v>3</v>
      </c>
      <c r="G17" s="4">
        <v>3</v>
      </c>
      <c r="H17" s="3">
        <v>0.06</v>
      </c>
      <c r="I17" s="3">
        <v>17.94</v>
      </c>
      <c r="J17" s="3">
        <v>18</v>
      </c>
      <c r="K17" s="5">
        <v>0.00334448</v>
      </c>
      <c r="L17" s="7">
        <v>46160.79891747</v>
      </c>
      <c r="M17" s="7">
        <v>46160.86470143</v>
      </c>
    </row>
    <row r="18">
      <c r="A18" s="6">
        <v>46160</v>
      </c>
      <c r="B18" t="inlineStr">
        <is>
          <t>BTC Up or Down 5m Binance 2 bps</t>
        </is>
      </c>
      <c r="C18" t="inlineStr">
        <is>
          <t>btc_up_down_5m_binance_bps_2</t>
        </is>
      </c>
      <c r="D18" t="inlineStr">
        <is>
          <t>b7c50005-0000-4000-8013-000000000002</t>
        </is>
      </c>
      <c r="E18" s="4">
        <v>24</v>
      </c>
      <c r="F18" s="4">
        <v>18</v>
      </c>
      <c r="G18" s="4">
        <v>6</v>
      </c>
      <c r="H18" s="3">
        <v>35.6954</v>
      </c>
      <c r="I18" s="3">
        <v>71.4554</v>
      </c>
      <c r="J18" s="3">
        <v>107.1508</v>
      </c>
      <c r="K18" s="5">
        <v>0.49954797</v>
      </c>
      <c r="L18" s="7">
        <v>46160.57938494</v>
      </c>
      <c r="M18" s="7">
        <v>46160.86470228</v>
      </c>
    </row>
    <row r="19">
      <c r="A19" s="6">
        <v>46160</v>
      </c>
      <c r="B19" t="inlineStr">
        <is>
          <t>BTC Up or Down 5m Binance 2 bps Instant</t>
        </is>
      </c>
      <c r="C19" t="inlineStr">
        <is>
          <t>btc_up_down_5m_binance_bps_2_instant</t>
        </is>
      </c>
      <c r="D19" t="inlineStr">
        <is>
          <t>b7c50005-0000-4000-8026-000000000120</t>
        </is>
      </c>
      <c r="E19" s="4">
        <v>0</v>
      </c>
      <c r="F19" s="4">
        <v>0</v>
      </c>
      <c r="G19" s="4">
        <v>0</v>
      </c>
      <c r="H19" s="3">
        <v>0</v>
      </c>
      <c r="I19" s="3">
        <v>0</v>
      </c>
      <c r="J19" s="3">
        <v>0</v>
      </c>
      <c r="K19" s="5">
        <v>0</v>
      </c>
      <c r="L19"/>
      <c r="M19"/>
    </row>
    <row r="20">
      <c r="A20" s="6">
        <v>46160</v>
      </c>
      <c r="B20" t="inlineStr">
        <is>
          <t>BTC Up or Down 5m Binance 2.1 bps</t>
        </is>
      </c>
      <c r="C20" t="inlineStr">
        <is>
          <t>btc_up_down_5m_binance_bps_2_1</t>
        </is>
      </c>
      <c r="D20" t="inlineStr">
        <is>
          <t>b7c50005-0000-4000-8013-000000000121</t>
        </is>
      </c>
      <c r="E20" s="4">
        <v>0</v>
      </c>
      <c r="F20" s="4">
        <v>0</v>
      </c>
      <c r="G20" s="4">
        <v>0</v>
      </c>
      <c r="H20" s="3">
        <v>0</v>
      </c>
      <c r="I20" s="3">
        <v>0</v>
      </c>
      <c r="J20" s="3">
        <v>0</v>
      </c>
      <c r="K20" s="5">
        <v>0</v>
      </c>
      <c r="L20"/>
      <c r="M20"/>
    </row>
    <row r="21">
      <c r="A21" s="6">
        <v>46160</v>
      </c>
      <c r="B21" t="inlineStr">
        <is>
          <t>BTC Up or Down 5m Binance 2.2 bps</t>
        </is>
      </c>
      <c r="C21" t="inlineStr">
        <is>
          <t>btc_up_down_5m_binance_bps_2_2</t>
        </is>
      </c>
      <c r="D21" t="inlineStr">
        <is>
          <t>b7c50005-0000-4000-8013-000000000122</t>
        </is>
      </c>
      <c r="E21" s="4">
        <v>0</v>
      </c>
      <c r="F21" s="4">
        <v>0</v>
      </c>
      <c r="G21" s="4">
        <v>0</v>
      </c>
      <c r="H21" s="3">
        <v>0</v>
      </c>
      <c r="I21" s="3">
        <v>0</v>
      </c>
      <c r="J21" s="3">
        <v>0</v>
      </c>
      <c r="K21" s="5">
        <v>0</v>
      </c>
      <c r="L21"/>
      <c r="M21"/>
    </row>
    <row r="22">
      <c r="A22" s="6">
        <v>46160</v>
      </c>
      <c r="B22" t="inlineStr">
        <is>
          <t>BTC Up or Down 5m Binance 2.3 bps</t>
        </is>
      </c>
      <c r="C22" t="inlineStr">
        <is>
          <t>btc_up_down_5m_binance_bps_2_3</t>
        </is>
      </c>
      <c r="D22" t="inlineStr">
        <is>
          <t>b7c50005-0000-4000-8013-000000000123</t>
        </is>
      </c>
      <c r="E22" s="4">
        <v>0</v>
      </c>
      <c r="F22" s="4">
        <v>0</v>
      </c>
      <c r="G22" s="4">
        <v>0</v>
      </c>
      <c r="H22" s="3">
        <v>0</v>
      </c>
      <c r="I22" s="3">
        <v>0</v>
      </c>
      <c r="J22" s="3">
        <v>0</v>
      </c>
      <c r="K22" s="5">
        <v>0</v>
      </c>
      <c r="L22"/>
      <c r="M22"/>
    </row>
    <row r="23">
      <c r="A23" s="6">
        <v>46161</v>
      </c>
      <c r="B23" t="inlineStr">
        <is>
          <t>BTC Up or Down 5m Binance 1.9 bps</t>
        </is>
      </c>
      <c r="C23" t="inlineStr">
        <is>
          <t>btc_up_down_5m_binance_bps_1_9</t>
        </is>
      </c>
      <c r="D23" t="inlineStr">
        <is>
          <t>b7c50005-0000-4000-8013-000000000119</t>
        </is>
      </c>
      <c r="E23" s="4">
        <v>32</v>
      </c>
      <c r="F23" s="4">
        <v>19</v>
      </c>
      <c r="G23" s="4">
        <v>13</v>
      </c>
      <c r="H23" s="3">
        <v>18.4262</v>
      </c>
      <c r="I23" s="3">
        <v>94.3936</v>
      </c>
      <c r="J23" s="3">
        <v>112.8198</v>
      </c>
      <c r="K23" s="5">
        <v>0.19520603</v>
      </c>
      <c r="L23" s="7">
        <v>46160.88902324</v>
      </c>
      <c r="M23" s="7">
        <v>46161.83412596</v>
      </c>
    </row>
    <row r="24">
      <c r="A24" s="6">
        <v>46161</v>
      </c>
      <c r="B24" t="inlineStr">
        <is>
          <t>BTC Up or Down 5m Binance 2 bps</t>
        </is>
      </c>
      <c r="C24" t="inlineStr">
        <is>
          <t>btc_up_down_5m_binance_bps_2</t>
        </is>
      </c>
      <c r="D24" t="inlineStr">
        <is>
          <t>b7c50005-0000-4000-8013-000000000002</t>
        </is>
      </c>
      <c r="E24" s="4">
        <v>29</v>
      </c>
      <c r="F24" s="4">
        <v>20</v>
      </c>
      <c r="G24" s="4">
        <v>9</v>
      </c>
      <c r="H24" s="3">
        <v>33.0699</v>
      </c>
      <c r="I24" s="3">
        <v>85.7499</v>
      </c>
      <c r="J24" s="3">
        <v>118.8198</v>
      </c>
      <c r="K24" s="5">
        <v>0.38565526</v>
      </c>
      <c r="L24" s="7">
        <v>46160.92727415</v>
      </c>
      <c r="M24" s="7">
        <v>46161.83412637</v>
      </c>
    </row>
    <row r="25">
      <c r="A25" s="6">
        <v>46161</v>
      </c>
      <c r="B25" t="inlineStr">
        <is>
          <t>BTC Up or Down 5m Binance 2 bps Instant</t>
        </is>
      </c>
      <c r="C25" t="inlineStr">
        <is>
          <t>btc_up_down_5m_binance_bps_2_instant</t>
        </is>
      </c>
      <c r="D25" t="inlineStr">
        <is>
          <t>b7c50005-0000-4000-8026-000000000120</t>
        </is>
      </c>
      <c r="E25" s="4">
        <v>15</v>
      </c>
      <c r="F25" s="4">
        <v>10</v>
      </c>
      <c r="G25" s="4">
        <v>5</v>
      </c>
      <c r="H25" s="3">
        <v>6.5933</v>
      </c>
      <c r="I25" s="3">
        <v>55.6267</v>
      </c>
      <c r="J25" s="3">
        <v>62.22</v>
      </c>
      <c r="K25" s="5">
        <v>0.11852761</v>
      </c>
      <c r="L25" s="7">
        <v>46161.56125815</v>
      </c>
      <c r="M25" s="7">
        <v>46161.78451552</v>
      </c>
    </row>
    <row r="26">
      <c r="A26" s="6">
        <v>46161</v>
      </c>
      <c r="B26" t="inlineStr">
        <is>
          <t>BTC Up or Down 5m Binance 2.1 bps</t>
        </is>
      </c>
      <c r="C26" t="inlineStr">
        <is>
          <t>btc_up_down_5m_binance_bps_2_1</t>
        </is>
      </c>
      <c r="D26" t="inlineStr">
        <is>
          <t>b7c50005-0000-4000-8013-000000000121</t>
        </is>
      </c>
      <c r="E26" s="4">
        <v>26</v>
      </c>
      <c r="F26" s="4">
        <v>18</v>
      </c>
      <c r="G26" s="4">
        <v>8</v>
      </c>
      <c r="H26" s="3">
        <v>29.9499</v>
      </c>
      <c r="I26" s="3">
        <v>76.8699</v>
      </c>
      <c r="J26" s="3">
        <v>106.8198</v>
      </c>
      <c r="K26" s="5">
        <v>0.38961804</v>
      </c>
      <c r="L26" s="7">
        <v>46160.92733813</v>
      </c>
      <c r="M26" s="7">
        <v>46161.83412528</v>
      </c>
    </row>
    <row r="27">
      <c r="A27" s="6">
        <v>46161</v>
      </c>
      <c r="B27" t="inlineStr">
        <is>
          <t>BTC Up or Down 5m Binance 2.2 bps</t>
        </is>
      </c>
      <c r="C27" t="inlineStr">
        <is>
          <t>btc_up_down_5m_binance_bps_2_2</t>
        </is>
      </c>
      <c r="D27" t="inlineStr">
        <is>
          <t>b7c50005-0000-4000-8013-000000000122</t>
        </is>
      </c>
      <c r="E27" s="4">
        <v>3</v>
      </c>
      <c r="F27" s="4">
        <v>3</v>
      </c>
      <c r="G27" s="4">
        <v>0</v>
      </c>
      <c r="H27" s="3">
        <v>8.77995</v>
      </c>
      <c r="I27" s="3">
        <v>8.77995</v>
      </c>
      <c r="J27" s="3">
        <v>17.5599</v>
      </c>
      <c r="K27" s="5">
        <v>1</v>
      </c>
      <c r="L27" s="7">
        <v>46161.75721304</v>
      </c>
      <c r="M27" s="7">
        <v>46161.83412471</v>
      </c>
    </row>
    <row r="28">
      <c r="A28" s="6">
        <v>46161</v>
      </c>
      <c r="B28" t="inlineStr">
        <is>
          <t>BTC Up or Down 5m Binance 2.3 bps</t>
        </is>
      </c>
      <c r="C28" t="inlineStr">
        <is>
          <t>btc_up_down_5m_binance_bps_2_3</t>
        </is>
      </c>
      <c r="D28" t="inlineStr">
        <is>
          <t>b7c50005-0000-4000-8013-000000000123</t>
        </is>
      </c>
      <c r="E28" s="4">
        <v>0</v>
      </c>
      <c r="F28" s="4">
        <v>0</v>
      </c>
      <c r="G28" s="4">
        <v>0</v>
      </c>
      <c r="H28" s="3">
        <v>0</v>
      </c>
      <c r="I28" s="3">
        <v>0</v>
      </c>
      <c r="J28" s="3">
        <v>0</v>
      </c>
      <c r="K28" s="5">
        <v>0</v>
      </c>
      <c r="L28"/>
      <c r="M28"/>
    </row>
    <row r="29">
      <c r="A29" s="6">
        <v>46162</v>
      </c>
      <c r="B29" t="inlineStr">
        <is>
          <t>BTC Up or Down 5m Binance 1.9 bps</t>
        </is>
      </c>
      <c r="C29" t="inlineStr">
        <is>
          <t>btc_up_down_5m_binance_bps_1_9</t>
        </is>
      </c>
      <c r="D29" t="inlineStr">
        <is>
          <t>b7c50005-0000-4000-8013-000000000119</t>
        </is>
      </c>
      <c r="E29" s="4">
        <v>9</v>
      </c>
      <c r="F29" s="4">
        <v>5</v>
      </c>
      <c r="G29" s="4">
        <v>4</v>
      </c>
      <c r="H29" s="3">
        <v>3</v>
      </c>
      <c r="I29" s="3">
        <v>27</v>
      </c>
      <c r="J29" s="3">
        <v>30</v>
      </c>
      <c r="K29" s="5">
        <v>0.11111111</v>
      </c>
      <c r="L29" s="7">
        <v>46161.95179509</v>
      </c>
      <c r="M29" s="7">
        <v>46162.19146118</v>
      </c>
    </row>
    <row r="30">
      <c r="A30" s="6">
        <v>46162</v>
      </c>
      <c r="B30" t="inlineStr">
        <is>
          <t>BTC Up or Down 5m Binance 2 bps</t>
        </is>
      </c>
      <c r="C30" t="inlineStr">
        <is>
          <t>btc_up_down_5m_binance_bps_2</t>
        </is>
      </c>
      <c r="D30" t="inlineStr">
        <is>
          <t>b7c50005-0000-4000-8013-000000000002</t>
        </is>
      </c>
      <c r="E30" s="4">
        <v>9</v>
      </c>
      <c r="F30" s="4">
        <v>5</v>
      </c>
      <c r="G30" s="4">
        <v>4</v>
      </c>
      <c r="H30" s="3">
        <v>3</v>
      </c>
      <c r="I30" s="3">
        <v>27</v>
      </c>
      <c r="J30" s="3">
        <v>30</v>
      </c>
      <c r="K30" s="5">
        <v>0.11111111</v>
      </c>
      <c r="L30" s="7">
        <v>46161.95179551</v>
      </c>
      <c r="M30" s="7">
        <v>46162.19146154</v>
      </c>
    </row>
    <row r="31">
      <c r="A31" s="6">
        <v>46162</v>
      </c>
      <c r="B31" t="inlineStr">
        <is>
          <t>BTC Up or Down 5m Binance 2 bps Instant</t>
        </is>
      </c>
      <c r="C31" t="inlineStr">
        <is>
          <t>btc_up_down_5m_binance_bps_2_instant</t>
        </is>
      </c>
      <c r="D31" t="inlineStr">
        <is>
          <t>b7c50005-0000-4000-8026-000000000120</t>
        </is>
      </c>
      <c r="E31" s="4">
        <v>5</v>
      </c>
      <c r="F31" s="4">
        <v>4</v>
      </c>
      <c r="G31" s="4">
        <v>1</v>
      </c>
      <c r="H31" s="3">
        <v>7.1088</v>
      </c>
      <c r="I31" s="3">
        <v>18.0612</v>
      </c>
      <c r="J31" s="3">
        <v>25.17</v>
      </c>
      <c r="K31" s="5">
        <v>0.39359511</v>
      </c>
      <c r="L31" s="7">
        <v>46161.9517902</v>
      </c>
      <c r="M31" s="7">
        <v>46162.19145481</v>
      </c>
    </row>
    <row r="32">
      <c r="A32" s="6">
        <v>46162</v>
      </c>
      <c r="B32" t="inlineStr">
        <is>
          <t>BTC Up or Down 5m Binance 2.1 bps</t>
        </is>
      </c>
      <c r="C32" t="inlineStr">
        <is>
          <t>btc_up_down_5m_binance_bps_2_1</t>
        </is>
      </c>
      <c r="D32" t="inlineStr">
        <is>
          <t>b7c50005-0000-4000-8013-000000000121</t>
        </is>
      </c>
      <c r="E32" s="4">
        <v>9</v>
      </c>
      <c r="F32" s="4">
        <v>5</v>
      </c>
      <c r="G32" s="4">
        <v>4</v>
      </c>
      <c r="H32" s="3">
        <v>3</v>
      </c>
      <c r="I32" s="3">
        <v>27</v>
      </c>
      <c r="J32" s="3">
        <v>30</v>
      </c>
      <c r="K32" s="5">
        <v>0.11111111</v>
      </c>
      <c r="L32" s="7">
        <v>46161.95179333</v>
      </c>
      <c r="M32" s="7">
        <v>46162.19146082</v>
      </c>
    </row>
    <row r="33">
      <c r="A33" s="6">
        <v>46162</v>
      </c>
      <c r="B33" t="inlineStr">
        <is>
          <t>BTC Up or Down 5m Binance 2.2 bps</t>
        </is>
      </c>
      <c r="C33" t="inlineStr">
        <is>
          <t>btc_up_down_5m_binance_bps_2_2</t>
        </is>
      </c>
      <c r="D33" t="inlineStr">
        <is>
          <t>b7c50005-0000-4000-8013-000000000122</t>
        </is>
      </c>
      <c r="E33" s="4">
        <v>9</v>
      </c>
      <c r="F33" s="4">
        <v>5</v>
      </c>
      <c r="G33" s="4">
        <v>4</v>
      </c>
      <c r="H33" s="3">
        <v>3</v>
      </c>
      <c r="I33" s="3">
        <v>27</v>
      </c>
      <c r="J33" s="3">
        <v>30</v>
      </c>
      <c r="K33" s="5">
        <v>0.11111111</v>
      </c>
      <c r="L33" s="7">
        <v>46161.95179218</v>
      </c>
      <c r="M33" s="7">
        <v>46162.19145908</v>
      </c>
    </row>
    <row r="34">
      <c r="A34" s="6">
        <v>46162</v>
      </c>
      <c r="B34" t="inlineStr">
        <is>
          <t>BTC Up or Down 5m Binance 2.3 bps</t>
        </is>
      </c>
      <c r="C34" t="inlineStr">
        <is>
          <t>btc_up_down_5m_binance_bps_2_3</t>
        </is>
      </c>
      <c r="D34" t="inlineStr">
        <is>
          <t>b7c50005-0000-4000-8013-000000000123</t>
        </is>
      </c>
      <c r="E34" s="4">
        <v>7</v>
      </c>
      <c r="F34" s="4">
        <v>3</v>
      </c>
      <c r="G34" s="4">
        <v>4</v>
      </c>
      <c r="H34" s="3">
        <v>-3</v>
      </c>
      <c r="I34" s="3">
        <v>21</v>
      </c>
      <c r="J34" s="3">
        <v>18</v>
      </c>
      <c r="K34" s="5">
        <v>-0.14285714</v>
      </c>
      <c r="L34" s="7">
        <v>46161.95179082</v>
      </c>
      <c r="M34" s="7">
        <v>46162.12542626</v>
      </c>
    </row>
  </sheetData>
  <autoFilter ref="A4:M34"/>
  <mergeCells count="2">
    <mergeCell ref="A1:M1"/>
    <mergeCell ref="A2:M2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34" customWidth="1"/>
    <col min="2" max="2" width="42" customWidth="1"/>
    <col min="3" max="3" width="38" customWidth="1"/>
    <col min="4" max="4" width="10" customWidth="1"/>
    <col min="5" max="5" width="12" customWidth="1"/>
    <col min="6" max="6" width="13" customWidth="1"/>
    <col min="7" max="7" width="12" customWidth="1"/>
    <col min="8" max="8" width="10" customWidth="1"/>
    <col min="9" max="9" width="10" customWidth="1"/>
    <col min="10" max="10" width="16" customWidth="1"/>
    <col min="11" max="11" width="22" customWidth="1"/>
    <col min="12" max="12" width="22" customWidth="1"/>
  </cols>
  <sheetData>
    <row r="1">
      <c r="A1" s="2" t="inlineStr">
        <is>
          <t>Current Live Strategies</t>
        </is>
      </c>
    </row>
    <row r="2">
      <c r="A2" s="8" t="inlineStr">
        <is>
          <t>Snapshot of strategies where strategies.live_stakes = true at query time.</t>
        </is>
      </c>
    </row>
    <row r="4">
      <c r="A4" s="1" t="inlineStr">
        <is>
          <t>Strategy</t>
        </is>
      </c>
      <c r="B4" s="1" t="inlineStr">
        <is>
          <t>Code</t>
        </is>
      </c>
      <c r="C4" s="1" t="inlineStr">
        <is>
          <t>Strategy ID</t>
        </is>
      </c>
      <c r="D4" s="1" t="inlineStr">
        <is>
          <t>Enabled</t>
        </is>
      </c>
      <c r="E4" s="1" t="inlineStr">
        <is>
          <t>Live stake</t>
        </is>
      </c>
      <c r="F4" s="1" t="inlineStr">
        <is>
          <t>Live balance</t>
        </is>
      </c>
      <c r="G4" s="1" t="inlineStr">
        <is>
          <t>Live orders</t>
        </is>
      </c>
      <c r="H4" s="1" t="inlineStr">
        <is>
          <t>Filled</t>
        </is>
      </c>
      <c r="I4" s="1" t="inlineStr">
        <is>
          <t>Open</t>
        </is>
      </c>
      <c r="J4" s="1" t="inlineStr">
        <is>
          <t>Ignored/skipped</t>
        </is>
      </c>
      <c r="K4" s="1" t="inlineStr">
        <is>
          <t>Last order UTC</t>
        </is>
      </c>
      <c r="L4" s="1" t="inlineStr">
        <is>
          <t>Last settlement UTC</t>
        </is>
      </c>
    </row>
    <row r="5">
      <c r="A5" t="inlineStr">
        <is>
          <t>BTC Up or Down 5m Binance 1.9 bps</t>
        </is>
      </c>
      <c r="B5" t="inlineStr">
        <is>
          <t>btc_up_down_5m_binance_bps_1_9</t>
        </is>
      </c>
      <c r="C5" t="inlineStr">
        <is>
          <t>b7c50005-0000-4000-8013-000000000119</t>
        </is>
      </c>
      <c r="D5" t="inlineStr">
        <is>
          <t>TRUE</t>
        </is>
      </c>
      <c r="E5" s="3">
        <v>1</v>
      </c>
      <c r="F5" s="3">
        <v>121.4862</v>
      </c>
      <c r="G5" s="4">
        <v>67</v>
      </c>
      <c r="H5" s="4">
        <v>47</v>
      </c>
      <c r="I5" s="4">
        <v>0</v>
      </c>
      <c r="J5" s="4">
        <v>20</v>
      </c>
      <c r="K5" s="7">
        <v>46162.2085231</v>
      </c>
      <c r="L5" s="7">
        <v>46162.19146118</v>
      </c>
    </row>
    <row r="6">
      <c r="A6" t="inlineStr">
        <is>
          <t>BTC Up or Down 5m Binance 2 bps</t>
        </is>
      </c>
      <c r="B6" t="inlineStr">
        <is>
          <t>btc_up_down_5m_binance_bps_2</t>
        </is>
      </c>
      <c r="C6" t="inlineStr">
        <is>
          <t>b7c50005-0000-4000-8013-000000000002</t>
        </is>
      </c>
      <c r="D6" t="inlineStr">
        <is>
          <t>TRUE</t>
        </is>
      </c>
      <c r="E6" s="3">
        <v>1</v>
      </c>
      <c r="F6" s="3">
        <v>168.7653</v>
      </c>
      <c r="G6" s="4">
        <v>82</v>
      </c>
      <c r="H6" s="4">
        <v>63</v>
      </c>
      <c r="I6" s="4">
        <v>0</v>
      </c>
      <c r="J6" s="4">
        <v>19</v>
      </c>
      <c r="K6" s="7">
        <v>46162.2085231</v>
      </c>
      <c r="L6" s="7">
        <v>46162.19146154</v>
      </c>
    </row>
    <row r="7">
      <c r="A7" t="inlineStr">
        <is>
          <t>BTC Up or Down 5m Binance 2 bps Instant</t>
        </is>
      </c>
      <c r="B7" t="inlineStr">
        <is>
          <t>btc_up_down_5m_binance_bps_2_instant</t>
        </is>
      </c>
      <c r="C7" t="inlineStr">
        <is>
          <t>b7c50005-0000-4000-8026-000000000120</t>
        </is>
      </c>
      <c r="D7" t="inlineStr">
        <is>
          <t>TRUE</t>
        </is>
      </c>
      <c r="E7" s="3">
        <v>1</v>
      </c>
      <c r="F7" s="3">
        <v>113.7021</v>
      </c>
      <c r="G7" s="4">
        <v>30</v>
      </c>
      <c r="H7" s="4">
        <v>20</v>
      </c>
      <c r="I7" s="4">
        <v>0</v>
      </c>
      <c r="J7" s="4">
        <v>10</v>
      </c>
      <c r="K7" s="7">
        <v>46162.18417779</v>
      </c>
      <c r="L7" s="7">
        <v>46162.19145481</v>
      </c>
    </row>
    <row r="8">
      <c r="A8" t="inlineStr">
        <is>
          <t>BTC Up or Down 5m Binance 2.1 bps</t>
        </is>
      </c>
      <c r="B8" t="inlineStr">
        <is>
          <t>btc_up_down_5m_binance_bps_2_1</t>
        </is>
      </c>
      <c r="C8" t="inlineStr">
        <is>
          <t>b7c50005-0000-4000-8013-000000000121</t>
        </is>
      </c>
      <c r="D8" t="inlineStr">
        <is>
          <t>TRUE</t>
        </is>
      </c>
      <c r="E8" s="3">
        <v>1</v>
      </c>
      <c r="F8" s="3">
        <v>132.9499</v>
      </c>
      <c r="G8" s="4">
        <v>48</v>
      </c>
      <c r="H8" s="4">
        <v>35</v>
      </c>
      <c r="I8" s="4">
        <v>0</v>
      </c>
      <c r="J8" s="4">
        <v>13</v>
      </c>
      <c r="K8" s="7">
        <v>46162.2085231</v>
      </c>
      <c r="L8" s="7">
        <v>46162.19146082</v>
      </c>
    </row>
    <row r="9">
      <c r="A9" t="inlineStr">
        <is>
          <t>BTC Up or Down 5m Binance 2.2 bps</t>
        </is>
      </c>
      <c r="B9" t="inlineStr">
        <is>
          <t>btc_up_down_5m_binance_bps_2_2</t>
        </is>
      </c>
      <c r="C9" t="inlineStr">
        <is>
          <t>b7c50005-0000-4000-8013-000000000122</t>
        </is>
      </c>
      <c r="D9" t="inlineStr">
        <is>
          <t>TRUE</t>
        </is>
      </c>
      <c r="E9" s="3">
        <v>1</v>
      </c>
      <c r="F9" s="3">
        <v>111.77995</v>
      </c>
      <c r="G9" s="4">
        <v>19</v>
      </c>
      <c r="H9" s="4">
        <v>12</v>
      </c>
      <c r="I9" s="4">
        <v>0</v>
      </c>
      <c r="J9" s="4">
        <v>7</v>
      </c>
      <c r="K9" s="7">
        <v>46162.2085231</v>
      </c>
      <c r="L9" s="7">
        <v>46162.19145908</v>
      </c>
    </row>
    <row r="10">
      <c r="A10" t="inlineStr">
        <is>
          <t>BTC Up or Down 5m Binance 2.3 bps</t>
        </is>
      </c>
      <c r="B10" t="inlineStr">
        <is>
          <t>btc_up_down_5m_binance_bps_2_3</t>
        </is>
      </c>
      <c r="C10" t="inlineStr">
        <is>
          <t>b7c50005-0000-4000-8013-000000000123</t>
        </is>
      </c>
      <c r="D10" t="inlineStr">
        <is>
          <t>TRUE</t>
        </is>
      </c>
      <c r="E10" s="3">
        <v>1</v>
      </c>
      <c r="F10" s="3">
        <v>97</v>
      </c>
      <c r="G10" s="4">
        <v>13</v>
      </c>
      <c r="H10" s="4">
        <v>7</v>
      </c>
      <c r="I10" s="4">
        <v>0</v>
      </c>
      <c r="J10" s="4">
        <v>6</v>
      </c>
      <c r="K10" s="7">
        <v>46162.2085231</v>
      </c>
      <c r="L10" s="7">
        <v>46162.12542626</v>
      </c>
    </row>
  </sheetData>
  <autoFilter ref="A4:L10"/>
  <mergeCells count="2">
    <mergeCell ref="A1:L1"/>
    <mergeCell ref="A2:L2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20" customWidth="1"/>
  </cols>
  <sheetData>
    <row r="1">
      <c r="A1" s="2" t="inlineStr">
        <is>
          <t>Source Notes</t>
        </is>
      </c>
    </row>
    <row r="3">
      <c r="A3" s="1" t="inlineStr">
        <is>
          <t>Generated UTC</t>
        </is>
      </c>
      <c r="B3" s="7">
        <v>46162.21674375</v>
      </c>
    </row>
    <row r="4">
      <c r="A4" s="1" t="inlineStr">
        <is>
          <t>Database time UTC</t>
        </is>
      </c>
      <c r="B4" s="7">
        <v>46162.21674169</v>
      </c>
    </row>
    <row r="5">
      <c r="A5" s="1" t="inlineStr">
        <is>
          <t>Database host</t>
        </is>
      </c>
      <c r="B5" t="inlineStr">
        <is>
          <t>192.168.0.101</t>
        </is>
      </c>
    </row>
    <row r="6">
      <c r="A6" s="1" t="inlineStr">
        <is>
          <t>Filter</t>
        </is>
      </c>
      <c r="B6" t="inlineStr">
        <is>
          <t>strategies.live_stakes = true at query time</t>
        </is>
      </c>
    </row>
    <row r="7">
      <c r="A7" s="1" t="inlineStr">
        <is>
          <t>PnL source</t>
        </is>
      </c>
      <c r="B7" t="inlineStr">
        <is>
          <t>live_orders.realized_pnl_usd where settled_at_utc IS NOT NULL and realized_pnl_usd IS NOT NULL</t>
        </is>
      </c>
    </row>
    <row r="8">
      <c r="A8" s="1" t="inlineStr">
        <is>
          <t>Day grouping</t>
        </is>
      </c>
      <c r="B8" t="inlineStr">
        <is>
          <t>settled_at_utc converted to Europe/Sofia calendar date</t>
        </is>
      </c>
    </row>
    <row r="9">
      <c r="A9" s="1" t="inlineStr">
        <is>
          <t>Read/write posture</t>
        </is>
      </c>
      <c r="B9" t="inlineStr">
        <is>
          <t>PostgreSQL transaction was SET TRANSACTION READ ONLY</t>
        </is>
      </c>
    </row>
    <row r="10">
      <c r="A10" s="1" t="inlineStr">
        <is>
          <t>Output path</t>
        </is>
      </c>
      <c r="B10" t="inlineStr">
        <is>
          <t>D:\My\Business\PolyMarket\outputs\019e43b9-598f-7f00-a0c9-56b43849dce6\live-strategy-daily-pnl-20260520-051206Z.xlsx</t>
        </is>
      </c>
    </row>
  </sheetData>
  <mergeCells count="1"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PolyCopyTrader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2026-05-20T05:12:06Z</dcterms:created>
  <dcterms:modified xsi:type="dcterms:W3CDTF">2026-05-20T05:12:06Z</dcterms:modified>
</cp:coreProperties>
</file>